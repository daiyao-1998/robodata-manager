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Temp\"/>
    </mc:Choice>
  </mc:AlternateContent>
  <xr:revisionPtr revIDLastSave="0" documentId="13_ncr:1_{D93EB278-AE77-4DFA-8C85-1B18426A2D35}" xr6:coauthVersionLast="47" xr6:coauthVersionMax="47" xr10:uidLastSave="{00000000-0000-0000-0000-000000000000}"/>
  <bookViews>
    <workbookView xWindow="-120" yWindow="-120" windowWidth="38640" windowHeight="21120" xr2:uid="{752BAC88-3D22-6345-9E5D-6A586CA68B77}"/>
  </bookViews>
  <sheets>
    <sheet name="行星执行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7" i="1" l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T19" i="1"/>
  <c r="O19" i="1"/>
  <c r="N19" i="1"/>
  <c r="L19" i="1"/>
  <c r="U18" i="1"/>
  <c r="T18" i="1"/>
  <c r="O18" i="1"/>
  <c r="N18" i="1"/>
  <c r="L18" i="1"/>
  <c r="U17" i="1"/>
  <c r="T17" i="1"/>
  <c r="O17" i="1"/>
  <c r="N17" i="1"/>
  <c r="L17" i="1"/>
  <c r="U16" i="1"/>
  <c r="T16" i="1"/>
  <c r="O16" i="1"/>
  <c r="N16" i="1"/>
  <c r="L16" i="1"/>
  <c r="U15" i="1"/>
  <c r="T15" i="1"/>
  <c r="O15" i="1"/>
  <c r="N15" i="1"/>
  <c r="L15" i="1"/>
  <c r="U14" i="1"/>
  <c r="T14" i="1"/>
  <c r="O14" i="1"/>
  <c r="N14" i="1"/>
  <c r="L14" i="1"/>
</calcChain>
</file>

<file path=xl/sharedStrings.xml><?xml version="1.0" encoding="utf-8"?>
<sst xmlns="http://schemas.openxmlformats.org/spreadsheetml/2006/main" count="467" uniqueCount="179">
  <si>
    <t>行星执行器</t>
  </si>
  <si>
    <t>型号</t>
  </si>
  <si>
    <t>驱动电压(V)</t>
  </si>
  <si>
    <t>尺寸(mm)</t>
  </si>
  <si>
    <t>中空内径(mm)</t>
  </si>
  <si>
    <t>重量(g)</t>
  </si>
  <si>
    <t>减速比</t>
  </si>
  <si>
    <t>额定转速(rpm)</t>
  </si>
  <si>
    <t>峰值转速(rpm)</t>
  </si>
  <si>
    <t>额定转矩(Nm)</t>
  </si>
  <si>
    <t>峰值转矩(Nm)</t>
  </si>
  <si>
    <t>额定电流(Arms)</t>
  </si>
  <si>
    <t>峰值电流(Arms)</t>
  </si>
  <si>
    <t>转矩系数(Nm/A)</t>
  </si>
  <si>
    <t>转速系数(rpm/V)</t>
  </si>
  <si>
    <t>D轴电感(μH)</t>
  </si>
  <si>
    <t>Q轴电感(μH)</t>
  </si>
  <si>
    <t>驱动方式</t>
  </si>
  <si>
    <t>2代执行器</t>
  </si>
  <si>
    <t>FSA45-30E-A00</t>
  </si>
  <si>
    <t>Ø63*67.9</t>
  </si>
  <si>
    <t>无中空</t>
  </si>
  <si>
    <t>40(10s)</t>
  </si>
  <si>
    <t>15.8(10s)</t>
  </si>
  <si>
    <t>FOC/Id=0</t>
  </si>
  <si>
    <t>FSA60-43E-A00</t>
  </si>
  <si>
    <t>Ø83*72.1</t>
  </si>
  <si>
    <t>75(13s)</t>
  </si>
  <si>
    <t>FSA80-29E-A00</t>
  </si>
  <si>
    <t>48
(20-60)</t>
  </si>
  <si>
    <t>Ø102*76.65</t>
  </si>
  <si>
    <t>102(20s)
120(10s)</t>
  </si>
  <si>
    <t>32.7(20s)
43.3(10s)</t>
  </si>
  <si>
    <t>FSA100-43E-A00</t>
  </si>
  <si>
    <t>Ø125*84.73</t>
  </si>
  <si>
    <t>360(20s)</t>
  </si>
  <si>
    <t>60.8(20s)</t>
  </si>
  <si>
    <t>额定转速(±5%)(rpm)</t>
  </si>
  <si>
    <t>额定转矩(Nm)60K温升</t>
  </si>
  <si>
    <t>三倍过载扭矩(±5%)(Nm)</t>
  </si>
  <si>
    <t>额定电流(±5%)(Arms)</t>
  </si>
  <si>
    <t>3倍过载Q轴电流(±10%)(Arms)</t>
  </si>
  <si>
    <t>转矩系数Kt(±5%)(Nm/A)</t>
  </si>
  <si>
    <t>额定状态测试Kv(±5%)(V/rpm)</t>
  </si>
  <si>
    <t>2.5代执行器</t>
  </si>
  <si>
    <t>FSA45-30E-B-H-A00</t>
  </si>
  <si>
    <t>48
(24-60)</t>
  </si>
  <si>
    <t>Ø63*61</t>
  </si>
  <si>
    <t>FSA60-30E-B-H-A00</t>
  </si>
  <si>
    <t>Ø83*63.5</t>
  </si>
  <si>
    <t>FSA80-28E-B-H-A00</t>
  </si>
  <si>
    <t>Ø102*63.6</t>
  </si>
  <si>
    <t>FSA100-20E-B-H-A00</t>
  </si>
  <si>
    <t>Ø125*67.3</t>
  </si>
  <si>
    <t>扭矩/质量(Nm/Kg)</t>
  </si>
  <si>
    <t>扭矩/体积(Nm/m^3)</t>
  </si>
  <si>
    <t>FSA-NEO</t>
  </si>
  <si>
    <t>FSA-26-P-45A/B</t>
  </si>
  <si>
    <t>Ø51*66</t>
  </si>
  <si>
    <t>/</t>
  </si>
  <si>
    <t>FSA-26-P-50A/B</t>
  </si>
  <si>
    <t>Ø60*70.5</t>
  </si>
  <si>
    <t xml:space="preserve"> FSA-20-P-80A/B</t>
  </si>
  <si>
    <t>Ø84.5*73</t>
  </si>
  <si>
    <t>FSA-25-P-95</t>
  </si>
  <si>
    <t>Ø104.5*83.5</t>
  </si>
  <si>
    <t>FSA-22-P-95mini</t>
  </si>
  <si>
    <t>Ø100.5*65</t>
  </si>
  <si>
    <t>FSA-27-P-125</t>
  </si>
  <si>
    <t>品牌</t>
  </si>
  <si>
    <t>模组电压(V)</t>
  </si>
  <si>
    <t>额定输出转速(rpm)</t>
  </si>
  <si>
    <t>最大输出转速(rpm)</t>
  </si>
  <si>
    <t>额定输出转矩(Nm)</t>
  </si>
  <si>
    <t>最大输出转矩(Nm)</t>
  </si>
  <si>
    <t>减速器破坏扭矩(Nm)</t>
  </si>
  <si>
    <t>模组背隙Arcmin</t>
  </si>
  <si>
    <t>绝对定位精度(arcmin)</t>
  </si>
  <si>
    <t>重复定位精度(arcmin)</t>
  </si>
  <si>
    <t>额定使用寿命(H)</t>
  </si>
  <si>
    <t>噪音(DB)</t>
  </si>
  <si>
    <t>防护等级IP要求</t>
  </si>
  <si>
    <t>通信接口</t>
  </si>
  <si>
    <t>编码器</t>
  </si>
  <si>
    <t>万里扬执行器</t>
  </si>
  <si>
    <t>MP25072</t>
  </si>
  <si>
    <t>Ø80*58</t>
  </si>
  <si>
    <t>≥7</t>
  </si>
  <si>
    <t>≤700</t>
  </si>
  <si>
    <t>≤25</t>
  </si>
  <si>
    <t>≥100</t>
  </si>
  <si>
    <t>≥120</t>
  </si>
  <si>
    <t>≥32</t>
  </si>
  <si>
    <t>≥96</t>
  </si>
  <si>
    <t>≤10</t>
  </si>
  <si>
    <t>±0.1</t>
  </si>
  <si>
    <t>≤70</t>
  </si>
  <si>
    <t>IP54</t>
  </si>
  <si>
    <t>CANFD</t>
  </si>
  <si>
    <t>双编/绝对值24位</t>
  </si>
  <si>
    <t>MP25073</t>
  </si>
  <si>
    <t>Ø126*84</t>
  </si>
  <si>
    <t>≥8</t>
  </si>
  <si>
    <t>≤2100</t>
  </si>
  <si>
    <t>≥150</t>
  </si>
  <si>
    <t>≥450</t>
  </si>
  <si>
    <t>≥500</t>
  </si>
  <si>
    <t>MP26021</t>
  </si>
  <si>
    <t>Ø40*60</t>
  </si>
  <si>
    <t>≥3.5</t>
  </si>
  <si>
    <t>≤300</t>
  </si>
  <si>
    <t>≥142</t>
  </si>
  <si>
    <t>≥178</t>
  </si>
  <si>
    <t>≥2.7</t>
  </si>
  <si>
    <t>≥10</t>
  </si>
  <si>
    <t>≤15</t>
  </si>
  <si>
    <t>≤65</t>
  </si>
  <si>
    <t>脉塔</t>
  </si>
  <si>
    <t>X2-P28</t>
  </si>
  <si>
    <t>Ø44*63.5</t>
  </si>
  <si>
    <t>≤12</t>
  </si>
  <si>
    <t>CAN BUS/EtherCAT</t>
  </si>
  <si>
    <t>双编/17位</t>
  </si>
  <si>
    <t>X4-P12.5</t>
  </si>
  <si>
    <t>Ø55*55.5</t>
  </si>
  <si>
    <t>X4-P36</t>
  </si>
  <si>
    <t>Ø55*61</t>
  </si>
  <si>
    <t>X6-P20</t>
  </si>
  <si>
    <t>Ø80*67.5</t>
  </si>
  <si>
    <t>X8-P20</t>
  </si>
  <si>
    <t>Ø96*76</t>
  </si>
  <si>
    <t>X8-P33</t>
  </si>
  <si>
    <t>Ø96*78</t>
  </si>
  <si>
    <t>X12-P20</t>
  </si>
  <si>
    <t>Ø124*85</t>
  </si>
  <si>
    <t>X15-P20</t>
  </si>
  <si>
    <t>Ø166*90</t>
  </si>
  <si>
    <t>纽氏达</t>
  </si>
  <si>
    <t>NSPGSC60</t>
  </si>
  <si>
    <t>Ø60*61</t>
  </si>
  <si>
    <t>≤600</t>
  </si>
  <si>
    <t>≥10000</t>
  </si>
  <si>
    <t>EtherCAT</t>
  </si>
  <si>
    <t>20位</t>
  </si>
  <si>
    <t>NSPGSC80</t>
  </si>
  <si>
    <t>Ø80*60.5</t>
  </si>
  <si>
    <t>≤850</t>
  </si>
  <si>
    <t>NSPGHC100</t>
  </si>
  <si>
    <t>Ø100*68</t>
  </si>
  <si>
    <t>≤1500</t>
  </si>
  <si>
    <t>NSPGHC120</t>
  </si>
  <si>
    <t>Ø120*69.5</t>
  </si>
  <si>
    <t>≤2270</t>
  </si>
  <si>
    <t>≥5000</t>
  </si>
  <si>
    <t>雷赛</t>
  </si>
  <si>
    <t>PJ3-97</t>
  </si>
  <si>
    <t>Ø100*61.7</t>
  </si>
  <si>
    <t>IP20</t>
  </si>
  <si>
    <t>PJ3-75</t>
  </si>
  <si>
    <t>Ø80*61.1</t>
  </si>
  <si>
    <t>PJ3-60</t>
  </si>
  <si>
    <t>Ø65*61.2</t>
  </si>
  <si>
    <t>意优</t>
  </si>
  <si>
    <t>RP40S</t>
  </si>
  <si>
    <t>Ø45*51</t>
  </si>
  <si>
    <t>＞3000</t>
  </si>
  <si>
    <t>＜65</t>
  </si>
  <si>
    <t>CANOpen/CANFD</t>
  </si>
  <si>
    <t>17位输入，19位输出</t>
  </si>
  <si>
    <t>RP50L</t>
  </si>
  <si>
    <t>Ø59*52</t>
  </si>
  <si>
    <t>RP50H</t>
  </si>
  <si>
    <t>Ø59*59</t>
  </si>
  <si>
    <t>RP70L</t>
  </si>
  <si>
    <t>Ø77*50.5</t>
  </si>
  <si>
    <t>RP70H</t>
  </si>
  <si>
    <t>Ø77*58</t>
  </si>
  <si>
    <t>RP90S</t>
  </si>
  <si>
    <t>Ø96.5*55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</si>
</sst>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charset val="134"/>
    </font>
    <font>
      <sz val="10"/>
      <color rgb="FF000000"/>
      <name val="等线"/>
      <charset val="134"/>
    </font>
    <font>
      <sz val="12"/>
      <color rgb="FF000000"/>
      <name val="等线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/>
    </xf>
    <xf numFmtId="176" fontId="2" fillId="0" borderId="1" xfId="0" applyNumberFormat="1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1" xfId="0" applyFont="1" applyBorder="1" applyProtection="1">
      <alignment vertical="center"/>
    </xf>
    <xf numFmtId="0" fontId="2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5" xfId="0" applyFont="1" applyBorder="1" applyProtection="1">
      <alignment vertical="center"/>
    </xf>
    <xf numFmtId="0" fontId="3" fillId="0" borderId="7" xfId="0" applyFont="1" applyBorder="1" applyProtection="1">
      <alignment vertical="center"/>
    </xf>
    <xf numFmtId="0" fontId="3" fillId="0" borderId="3" xfId="0" applyFont="1" applyBorder="1" applyProtection="1">
      <alignment vertical="center"/>
    </xf>
    <xf numFmtId="0" fontId="3" fillId="0" borderId="6" xfId="0" applyFont="1" applyBorder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422F-E1E1-4593-A449-DE85FFA70B3E}">
  <sheetPr>
    <outlinePr summaryBelow="0" summaryRight="0"/>
  </sheetPr>
  <dimension ref="A1:X54"/>
  <sheetViews>
    <sheetView tabSelected="1" workbookViewId="0">
      <pane ySplit="1" topLeftCell="A22" activePane="bottomLeft" state="frozen"/>
      <selection pane="bottomLeft"/>
    </sheetView>
  </sheetViews>
  <sheetFormatPr defaultColWidth="9" defaultRowHeight="14.1" customHeight="1" x14ac:dyDescent="0.25"/>
  <cols>
    <col min="1" max="1" width="11.625" style="3"/>
    <col min="2" max="2" width="16.875" style="3"/>
    <col min="3" max="4" width="10.625" style="3"/>
    <col min="5" max="5" width="11.625" style="3"/>
    <col min="6" max="6" width="7.125" style="3"/>
    <col min="7" max="7" width="7.125" style="8"/>
    <col min="8" max="8" width="17.625" style="3"/>
    <col min="9" max="9" width="16" style="3"/>
    <col min="10" max="10" width="17.625" style="3"/>
    <col min="11" max="11" width="15.125" style="3"/>
    <col min="12" max="12" width="20.375" style="3"/>
    <col min="13" max="13" width="18.625" style="3"/>
    <col min="14" max="14" width="24.625" style="3"/>
    <col min="15" max="15" width="20.375" style="3"/>
    <col min="16" max="16" width="24.625" style="3"/>
    <col min="17" max="17" width="18.625" style="3"/>
    <col min="18" max="18" width="14.125" style="3"/>
    <col min="19" max="19" width="8.125" style="3"/>
    <col min="20" max="20" width="15.125" style="3"/>
    <col min="21" max="21" width="16" style="3"/>
    <col min="22" max="22" width="14.125" style="3"/>
    <col min="23" max="23" width="15.125" style="8"/>
    <col min="24" max="24" width="16" style="8"/>
  </cols>
  <sheetData>
    <row r="1" spans="1:23" s="3" customFormat="1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"/>
      <c r="T1" s="1"/>
      <c r="U1" s="1"/>
      <c r="V1" s="1"/>
    </row>
    <row r="2" spans="1:23" s="3" customFormat="1" ht="30" customHeight="1" x14ac:dyDescent="0.25">
      <c r="A2" s="13" t="s">
        <v>18</v>
      </c>
      <c r="B2" s="4" t="s">
        <v>19</v>
      </c>
      <c r="C2" s="4">
        <v>48</v>
      </c>
      <c r="D2" s="4" t="s">
        <v>20</v>
      </c>
      <c r="E2" s="4" t="s">
        <v>21</v>
      </c>
      <c r="F2" s="4">
        <v>500</v>
      </c>
      <c r="G2" s="4">
        <v>30</v>
      </c>
      <c r="H2" s="4">
        <v>130</v>
      </c>
      <c r="I2" s="4">
        <v>160</v>
      </c>
      <c r="J2" s="4">
        <v>12</v>
      </c>
      <c r="K2" s="4" t="s">
        <v>22</v>
      </c>
      <c r="L2" s="4">
        <v>4.6500000000000004</v>
      </c>
      <c r="M2" s="4" t="s">
        <v>23</v>
      </c>
      <c r="N2" s="4">
        <v>2.44</v>
      </c>
      <c r="O2" s="4">
        <v>3.7</v>
      </c>
      <c r="P2" s="4">
        <v>85</v>
      </c>
      <c r="Q2" s="4">
        <v>103.5</v>
      </c>
      <c r="R2" s="4" t="s">
        <v>24</v>
      </c>
      <c r="S2" s="1"/>
      <c r="T2" s="1"/>
      <c r="U2" s="1"/>
      <c r="V2" s="1"/>
    </row>
    <row r="3" spans="1:23" s="3" customFormat="1" ht="30" customHeight="1" x14ac:dyDescent="0.25">
      <c r="A3" s="13"/>
      <c r="B3" s="4" t="s">
        <v>25</v>
      </c>
      <c r="C3" s="4">
        <v>48</v>
      </c>
      <c r="D3" s="4" t="s">
        <v>26</v>
      </c>
      <c r="E3" s="4" t="s">
        <v>21</v>
      </c>
      <c r="F3" s="4">
        <v>880</v>
      </c>
      <c r="G3" s="4">
        <v>42.611499999999999</v>
      </c>
      <c r="H3" s="4">
        <v>130</v>
      </c>
      <c r="I3" s="4">
        <v>129</v>
      </c>
      <c r="J3" s="4">
        <v>20.8</v>
      </c>
      <c r="K3" s="4" t="s">
        <v>27</v>
      </c>
      <c r="L3" s="4">
        <v>7.3</v>
      </c>
      <c r="M3" s="4">
        <v>25.3</v>
      </c>
      <c r="N3" s="4">
        <v>2.85</v>
      </c>
      <c r="O3" s="4">
        <v>2.92</v>
      </c>
      <c r="P3" s="4">
        <v>51</v>
      </c>
      <c r="Q3" s="4">
        <v>66</v>
      </c>
      <c r="R3" s="4" t="s">
        <v>24</v>
      </c>
      <c r="S3" s="1"/>
      <c r="T3" s="1"/>
      <c r="U3" s="1"/>
      <c r="V3" s="1"/>
    </row>
    <row r="4" spans="1:23" s="3" customFormat="1" ht="30" customHeight="1" x14ac:dyDescent="0.25">
      <c r="A4" s="13"/>
      <c r="B4" s="4" t="s">
        <v>28</v>
      </c>
      <c r="C4" s="9" t="s">
        <v>29</v>
      </c>
      <c r="D4" s="4" t="s">
        <v>30</v>
      </c>
      <c r="E4" s="4" t="s">
        <v>21</v>
      </c>
      <c r="F4" s="4">
        <v>1457</v>
      </c>
      <c r="G4" s="4">
        <v>28.8</v>
      </c>
      <c r="H4" s="4">
        <v>100</v>
      </c>
      <c r="I4" s="4">
        <v>118</v>
      </c>
      <c r="J4" s="4">
        <v>43</v>
      </c>
      <c r="K4" s="10" t="s">
        <v>31</v>
      </c>
      <c r="L4" s="4">
        <v>13</v>
      </c>
      <c r="M4" s="11" t="s">
        <v>32</v>
      </c>
      <c r="N4" s="4">
        <v>3.3</v>
      </c>
      <c r="O4" s="4">
        <v>2.67</v>
      </c>
      <c r="P4" s="4">
        <v>39.299999999999997</v>
      </c>
      <c r="Q4" s="4">
        <v>56.5</v>
      </c>
      <c r="R4" s="4" t="s">
        <v>24</v>
      </c>
      <c r="S4" s="1"/>
      <c r="T4" s="1"/>
      <c r="U4" s="1"/>
      <c r="V4" s="1"/>
    </row>
    <row r="5" spans="1:23" s="3" customFormat="1" ht="30" customHeight="1" x14ac:dyDescent="0.25">
      <c r="A5" s="13"/>
      <c r="B5" s="4" t="s">
        <v>33</v>
      </c>
      <c r="C5" s="4">
        <v>48</v>
      </c>
      <c r="D5" s="4" t="s">
        <v>34</v>
      </c>
      <c r="E5" s="4" t="s">
        <v>21</v>
      </c>
      <c r="F5" s="4">
        <v>2426</v>
      </c>
      <c r="G5" s="4">
        <v>43.5</v>
      </c>
      <c r="H5" s="4">
        <v>67</v>
      </c>
      <c r="I5" s="4">
        <v>62</v>
      </c>
      <c r="J5" s="4">
        <v>94.4</v>
      </c>
      <c r="K5" s="4" t="s">
        <v>35</v>
      </c>
      <c r="L5" s="4">
        <v>15.6</v>
      </c>
      <c r="M5" s="4" t="s">
        <v>36</v>
      </c>
      <c r="N5" s="4">
        <v>6.05</v>
      </c>
      <c r="O5" s="4">
        <v>1.47</v>
      </c>
      <c r="P5" s="4">
        <v>22</v>
      </c>
      <c r="Q5" s="4">
        <v>35</v>
      </c>
      <c r="R5" s="4" t="s">
        <v>24</v>
      </c>
      <c r="S5" s="1"/>
      <c r="T5" s="1"/>
      <c r="U5" s="1"/>
      <c r="V5" s="1"/>
    </row>
    <row r="6" spans="1:23" ht="30" customHeight="1" x14ac:dyDescent="0.25"/>
    <row r="7" spans="1:23" s="3" customFormat="1" ht="30" customHeight="1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37</v>
      </c>
      <c r="I7" s="4" t="s">
        <v>8</v>
      </c>
      <c r="J7" s="4" t="s">
        <v>38</v>
      </c>
      <c r="K7" s="4" t="s">
        <v>10</v>
      </c>
      <c r="L7" s="4" t="s">
        <v>39</v>
      </c>
      <c r="M7" s="4" t="s">
        <v>40</v>
      </c>
      <c r="N7" s="4" t="s">
        <v>41</v>
      </c>
      <c r="O7" s="4" t="s">
        <v>42</v>
      </c>
      <c r="P7" s="4" t="s">
        <v>43</v>
      </c>
      <c r="Q7" s="4" t="s">
        <v>15</v>
      </c>
      <c r="R7" s="4" t="s">
        <v>16</v>
      </c>
      <c r="S7" s="4" t="s">
        <v>17</v>
      </c>
      <c r="T7" s="1"/>
      <c r="U7" s="1"/>
      <c r="V7" s="1"/>
      <c r="W7" s="1"/>
    </row>
    <row r="8" spans="1:23" s="3" customFormat="1" ht="30" customHeight="1" x14ac:dyDescent="0.25">
      <c r="A8" s="13" t="s">
        <v>44</v>
      </c>
      <c r="B8" s="4" t="s">
        <v>45</v>
      </c>
      <c r="C8" s="12" t="s">
        <v>46</v>
      </c>
      <c r="D8" s="4" t="s">
        <v>47</v>
      </c>
      <c r="E8" s="4" t="s">
        <v>21</v>
      </c>
      <c r="F8" s="4">
        <v>530</v>
      </c>
      <c r="G8" s="4">
        <v>30.25</v>
      </c>
      <c r="H8" s="4">
        <v>132</v>
      </c>
      <c r="I8" s="4">
        <v>159</v>
      </c>
      <c r="J8" s="4">
        <v>10</v>
      </c>
      <c r="K8" s="4">
        <v>47</v>
      </c>
      <c r="L8" s="4">
        <v>30</v>
      </c>
      <c r="M8" s="4">
        <v>6.19</v>
      </c>
      <c r="N8" s="4">
        <v>19.14</v>
      </c>
      <c r="O8" s="4">
        <v>1.64</v>
      </c>
      <c r="P8" s="4">
        <v>0.17</v>
      </c>
      <c r="Q8" s="4">
        <v>78.8</v>
      </c>
      <c r="R8" s="4">
        <v>95.6</v>
      </c>
      <c r="S8" s="4" t="s">
        <v>24</v>
      </c>
      <c r="T8" s="1"/>
      <c r="U8" s="1"/>
      <c r="V8" s="1"/>
      <c r="W8" s="1"/>
    </row>
    <row r="9" spans="1:23" s="3" customFormat="1" ht="30" customHeight="1" x14ac:dyDescent="0.25">
      <c r="A9" s="13"/>
      <c r="B9" s="4" t="s">
        <v>48</v>
      </c>
      <c r="C9" s="4">
        <v>48</v>
      </c>
      <c r="D9" s="4" t="s">
        <v>49</v>
      </c>
      <c r="E9" s="4" t="s">
        <v>21</v>
      </c>
      <c r="F9" s="4">
        <v>860</v>
      </c>
      <c r="G9" s="4">
        <v>30</v>
      </c>
      <c r="H9" s="4">
        <v>117</v>
      </c>
      <c r="I9" s="4">
        <v>125</v>
      </c>
      <c r="J9" s="4">
        <v>23.9</v>
      </c>
      <c r="K9" s="4">
        <v>133</v>
      </c>
      <c r="L9" s="4">
        <v>71.7</v>
      </c>
      <c r="M9" s="4">
        <v>8.7100000000000009</v>
      </c>
      <c r="N9" s="4">
        <v>26.91</v>
      </c>
      <c r="O9" s="4">
        <v>2.8</v>
      </c>
      <c r="P9" s="4">
        <v>0.28999999999999998</v>
      </c>
      <c r="Q9" s="4">
        <v>94.23</v>
      </c>
      <c r="R9" s="4">
        <v>113.98</v>
      </c>
      <c r="S9" s="4" t="s">
        <v>24</v>
      </c>
      <c r="T9" s="1"/>
      <c r="U9" s="1"/>
      <c r="V9" s="1"/>
      <c r="W9" s="1"/>
    </row>
    <row r="10" spans="1:23" s="3" customFormat="1" ht="30" customHeight="1" x14ac:dyDescent="0.25">
      <c r="A10" s="13"/>
      <c r="B10" s="4" t="s">
        <v>50</v>
      </c>
      <c r="C10" s="4">
        <v>48</v>
      </c>
      <c r="D10" s="4" t="s">
        <v>51</v>
      </c>
      <c r="E10" s="4" t="s">
        <v>21</v>
      </c>
      <c r="F10" s="4">
        <v>1330</v>
      </c>
      <c r="G10" s="4">
        <v>28</v>
      </c>
      <c r="H10" s="4">
        <v>113</v>
      </c>
      <c r="I10" s="4">
        <v>124</v>
      </c>
      <c r="J10" s="4">
        <v>46.8</v>
      </c>
      <c r="K10" s="4">
        <v>164</v>
      </c>
      <c r="L10" s="4">
        <v>140.4</v>
      </c>
      <c r="M10" s="4">
        <v>19.2</v>
      </c>
      <c r="N10" s="4">
        <v>59.31</v>
      </c>
      <c r="O10" s="4">
        <v>2.42</v>
      </c>
      <c r="P10" s="4">
        <v>0.25</v>
      </c>
      <c r="Q10" s="4">
        <v>24.47</v>
      </c>
      <c r="R10" s="4">
        <v>34.369999999999997</v>
      </c>
      <c r="S10" s="4" t="s">
        <v>24</v>
      </c>
      <c r="T10" s="1"/>
      <c r="U10" s="1"/>
      <c r="V10" s="1"/>
      <c r="W10" s="1"/>
    </row>
    <row r="11" spans="1:23" s="3" customFormat="1" ht="30" customHeight="1" x14ac:dyDescent="0.25">
      <c r="A11" s="13"/>
      <c r="B11" s="4" t="s">
        <v>52</v>
      </c>
      <c r="C11" s="4">
        <v>48</v>
      </c>
      <c r="D11" s="4" t="s">
        <v>53</v>
      </c>
      <c r="E11" s="4" t="s">
        <v>21</v>
      </c>
      <c r="F11" s="4">
        <v>2201</v>
      </c>
      <c r="G11" s="4">
        <v>20</v>
      </c>
      <c r="H11" s="4">
        <v>112</v>
      </c>
      <c r="I11" s="4">
        <v>122</v>
      </c>
      <c r="J11" s="4">
        <v>73.8</v>
      </c>
      <c r="K11" s="4">
        <v>347</v>
      </c>
      <c r="L11" s="4">
        <v>219</v>
      </c>
      <c r="M11" s="4">
        <v>25.82</v>
      </c>
      <c r="N11" s="4">
        <v>79.790000000000006</v>
      </c>
      <c r="O11" s="4">
        <v>2.7</v>
      </c>
      <c r="P11" s="4">
        <v>0.28000000000000003</v>
      </c>
      <c r="Q11" s="4">
        <v>24.75</v>
      </c>
      <c r="R11" s="4">
        <v>34.75</v>
      </c>
      <c r="S11" s="4" t="s">
        <v>24</v>
      </c>
      <c r="T11" s="1"/>
      <c r="U11" s="1"/>
      <c r="V11" s="1"/>
      <c r="W11" s="1"/>
    </row>
    <row r="12" spans="1:23" ht="30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s="3" customFormat="1" ht="30" customHeight="1" x14ac:dyDescent="0.25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37</v>
      </c>
      <c r="I13" s="4" t="s">
        <v>8</v>
      </c>
      <c r="J13" s="4" t="s">
        <v>38</v>
      </c>
      <c r="K13" s="4" t="s">
        <v>10</v>
      </c>
      <c r="L13" s="4" t="s">
        <v>39</v>
      </c>
      <c r="M13" s="4" t="s">
        <v>40</v>
      </c>
      <c r="N13" s="4" t="s">
        <v>41</v>
      </c>
      <c r="O13" s="4" t="s">
        <v>42</v>
      </c>
      <c r="P13" s="4" t="s">
        <v>43</v>
      </c>
      <c r="Q13" s="4" t="s">
        <v>15</v>
      </c>
      <c r="R13" s="4" t="s">
        <v>16</v>
      </c>
      <c r="S13" s="4" t="s">
        <v>17</v>
      </c>
      <c r="T13" s="4" t="s">
        <v>54</v>
      </c>
      <c r="U13" s="4" t="s">
        <v>55</v>
      </c>
      <c r="V13" s="1"/>
      <c r="W13" s="1"/>
    </row>
    <row r="14" spans="1:23" s="3" customFormat="1" ht="30" customHeight="1" x14ac:dyDescent="0.25">
      <c r="A14" s="17" t="s">
        <v>56</v>
      </c>
      <c r="B14" s="4" t="s">
        <v>57</v>
      </c>
      <c r="C14" s="2">
        <v>48</v>
      </c>
      <c r="D14" s="4" t="s">
        <v>58</v>
      </c>
      <c r="E14" s="4" t="s">
        <v>59</v>
      </c>
      <c r="F14" s="4">
        <v>287</v>
      </c>
      <c r="G14" s="4">
        <v>26</v>
      </c>
      <c r="H14" s="4">
        <v>169</v>
      </c>
      <c r="I14" s="4">
        <v>250</v>
      </c>
      <c r="J14" s="4">
        <v>2.7040000000000002</v>
      </c>
      <c r="K14" s="4">
        <v>7.9039999999999999</v>
      </c>
      <c r="L14" s="4">
        <f t="shared" ref="L14:L19" si="0">J14*3</f>
        <v>8.1120000000000001</v>
      </c>
      <c r="M14" s="4">
        <v>2.1</v>
      </c>
      <c r="N14" s="4">
        <f t="shared" ref="N14:N19" si="1">M14*3</f>
        <v>6.3000000000000007</v>
      </c>
      <c r="O14" s="5">
        <f t="shared" ref="O14:O19" si="2">J14/M14</f>
        <v>1.2876190476190477</v>
      </c>
      <c r="P14" s="4"/>
      <c r="Q14" s="4"/>
      <c r="R14" s="4"/>
      <c r="S14" s="4"/>
      <c r="T14" s="5">
        <f>J14/F14*1000</f>
        <v>9.4216027874564467</v>
      </c>
      <c r="U14" s="5">
        <f>J14/(PI()*(51/2)^2*66)*10^9</f>
        <v>20055.454947187445</v>
      </c>
      <c r="V14" s="1"/>
      <c r="W14" s="1"/>
    </row>
    <row r="15" spans="1:23" s="3" customFormat="1" ht="30" customHeight="1" x14ac:dyDescent="0.25">
      <c r="A15" s="19"/>
      <c r="B15" s="4" t="s">
        <v>60</v>
      </c>
      <c r="C15" s="4">
        <v>48</v>
      </c>
      <c r="D15" s="4" t="s">
        <v>61</v>
      </c>
      <c r="E15" s="4">
        <v>5</v>
      </c>
      <c r="F15" s="4">
        <v>460</v>
      </c>
      <c r="G15" s="4">
        <v>26</v>
      </c>
      <c r="H15" s="4">
        <v>169</v>
      </c>
      <c r="I15" s="4">
        <v>204</v>
      </c>
      <c r="J15" s="4">
        <v>10.4</v>
      </c>
      <c r="K15" s="4">
        <v>26</v>
      </c>
      <c r="L15" s="4">
        <f t="shared" si="0"/>
        <v>31.200000000000003</v>
      </c>
      <c r="M15" s="4">
        <v>7.1</v>
      </c>
      <c r="N15" s="4">
        <f t="shared" si="1"/>
        <v>21.299999999999997</v>
      </c>
      <c r="O15" s="5">
        <f t="shared" si="2"/>
        <v>1.4647887323943662</v>
      </c>
      <c r="P15" s="4"/>
      <c r="Q15" s="4"/>
      <c r="R15" s="4"/>
      <c r="S15" s="4"/>
      <c r="T15" s="5">
        <f>J15/F15*1000</f>
        <v>22.608695652173914</v>
      </c>
      <c r="U15" s="5">
        <f>J15/(PI()*(60/2)^2*70.5-PI()*(5/2)^2*70.5)*10^9</f>
        <v>52538.575669278158</v>
      </c>
      <c r="V15" s="1"/>
      <c r="W15" s="1"/>
    </row>
    <row r="16" spans="1:23" s="3" customFormat="1" ht="30" customHeight="1" x14ac:dyDescent="0.25">
      <c r="A16" s="19"/>
      <c r="B16" s="4" t="s">
        <v>62</v>
      </c>
      <c r="C16" s="4">
        <v>48</v>
      </c>
      <c r="D16" s="4" t="s">
        <v>63</v>
      </c>
      <c r="E16" s="4">
        <v>6</v>
      </c>
      <c r="F16" s="4">
        <v>938</v>
      </c>
      <c r="G16" s="4">
        <v>20</v>
      </c>
      <c r="H16" s="4">
        <v>125</v>
      </c>
      <c r="I16" s="4">
        <v>133</v>
      </c>
      <c r="J16" s="4">
        <v>19.68</v>
      </c>
      <c r="K16" s="4">
        <v>59.04</v>
      </c>
      <c r="L16" s="4">
        <f t="shared" si="0"/>
        <v>59.04</v>
      </c>
      <c r="M16" s="4">
        <v>8.5</v>
      </c>
      <c r="N16" s="4">
        <f t="shared" si="1"/>
        <v>25.5</v>
      </c>
      <c r="O16" s="5">
        <f t="shared" si="2"/>
        <v>2.3152941176470589</v>
      </c>
      <c r="P16" s="4"/>
      <c r="Q16" s="4"/>
      <c r="R16" s="4"/>
      <c r="S16" s="4"/>
      <c r="T16" s="5">
        <f>J16/F16*1000</f>
        <v>20.980810234541575</v>
      </c>
      <c r="U16" s="5">
        <f>J16/(PI()*(84.5/2)^2*73-PI()*(6/2)^2*73)*10^9</f>
        <v>48316.349783653532</v>
      </c>
      <c r="V16" s="1"/>
      <c r="W16" s="1"/>
    </row>
    <row r="17" spans="1:24" s="3" customFormat="1" ht="30" customHeight="1" x14ac:dyDescent="0.25">
      <c r="A17" s="19"/>
      <c r="B17" s="7" t="s">
        <v>64</v>
      </c>
      <c r="C17" s="7">
        <v>48</v>
      </c>
      <c r="D17" s="4" t="s">
        <v>65</v>
      </c>
      <c r="E17" s="7">
        <v>9</v>
      </c>
      <c r="F17" s="7">
        <v>1400</v>
      </c>
      <c r="G17" s="7">
        <v>25</v>
      </c>
      <c r="H17" s="7">
        <v>106</v>
      </c>
      <c r="I17" s="7">
        <v>124</v>
      </c>
      <c r="J17" s="7">
        <v>60</v>
      </c>
      <c r="K17" s="7">
        <v>180</v>
      </c>
      <c r="L17" s="4">
        <f t="shared" si="0"/>
        <v>180</v>
      </c>
      <c r="M17" s="7">
        <v>21.4</v>
      </c>
      <c r="N17" s="4">
        <f t="shared" si="1"/>
        <v>64.199999999999989</v>
      </c>
      <c r="O17" s="5">
        <f t="shared" si="2"/>
        <v>2.8037383177570097</v>
      </c>
      <c r="P17" s="7"/>
      <c r="Q17" s="7"/>
      <c r="R17" s="7"/>
      <c r="S17" s="7"/>
      <c r="T17" s="5">
        <f>J17/F17*1000</f>
        <v>42.857142857142854</v>
      </c>
      <c r="U17" s="5">
        <f>J17/(PI()*(104.5/2)^2*83.5-PI()*(9/2)^2*83.5)*10^9</f>
        <v>84406.454955422741</v>
      </c>
      <c r="V17" s="1"/>
      <c r="W17" s="1"/>
    </row>
    <row r="18" spans="1:24" ht="30" customHeight="1" x14ac:dyDescent="0.25">
      <c r="A18" s="21"/>
      <c r="B18" s="7" t="s">
        <v>66</v>
      </c>
      <c r="C18" s="4">
        <v>48</v>
      </c>
      <c r="D18" s="4" t="s">
        <v>67</v>
      </c>
      <c r="E18" s="4">
        <v>9</v>
      </c>
      <c r="F18" s="4">
        <v>1320</v>
      </c>
      <c r="G18" s="4">
        <v>22.2</v>
      </c>
      <c r="H18" s="4">
        <v>100</v>
      </c>
      <c r="I18" s="4">
        <v>120</v>
      </c>
      <c r="J18" s="4">
        <v>47</v>
      </c>
      <c r="K18" s="4">
        <v>140</v>
      </c>
      <c r="L18" s="4">
        <f t="shared" si="0"/>
        <v>141</v>
      </c>
      <c r="M18" s="4">
        <v>21.4</v>
      </c>
      <c r="N18" s="4">
        <f t="shared" si="1"/>
        <v>64.199999999999989</v>
      </c>
      <c r="O18" s="5">
        <f t="shared" si="2"/>
        <v>2.1962616822429908</v>
      </c>
      <c r="P18" s="4"/>
      <c r="Q18" s="4"/>
      <c r="R18" s="4"/>
      <c r="S18" s="4"/>
      <c r="T18" s="5">
        <f>J18/1400*1000</f>
        <v>33.571428571428569</v>
      </c>
      <c r="U18" s="5">
        <f>J18/(PI()*(100.5/2)^2*65-PI()*(9/2)^2*65)*10^9</f>
        <v>91888.12858716608</v>
      </c>
      <c r="V18" s="1"/>
      <c r="W18" s="1"/>
    </row>
    <row r="19" spans="1:24" ht="30" customHeight="1" x14ac:dyDescent="0.25">
      <c r="A19" s="22"/>
      <c r="B19" s="4" t="s">
        <v>68</v>
      </c>
      <c r="C19" s="4">
        <v>48</v>
      </c>
      <c r="D19" s="4" t="s">
        <v>59</v>
      </c>
      <c r="E19" s="4">
        <v>9</v>
      </c>
      <c r="F19" s="4">
        <v>2300</v>
      </c>
      <c r="G19" s="4">
        <v>27</v>
      </c>
      <c r="H19" s="4">
        <v>100</v>
      </c>
      <c r="I19" s="4">
        <v>115</v>
      </c>
      <c r="J19" s="4">
        <v>120.1</v>
      </c>
      <c r="K19" s="4">
        <v>360.072</v>
      </c>
      <c r="L19" s="4">
        <f t="shared" si="0"/>
        <v>360.29999999999995</v>
      </c>
      <c r="M19" s="4">
        <v>33.299999999999997</v>
      </c>
      <c r="N19" s="4">
        <f t="shared" si="1"/>
        <v>99.899999999999991</v>
      </c>
      <c r="O19" s="5">
        <f t="shared" si="2"/>
        <v>3.6066066066066069</v>
      </c>
      <c r="P19" s="4"/>
      <c r="Q19" s="4"/>
      <c r="R19" s="4"/>
      <c r="S19" s="4"/>
      <c r="T19" s="5">
        <f>J19/F19*1000</f>
        <v>52.217391304347828</v>
      </c>
      <c r="U19" s="5" t="s">
        <v>59</v>
      </c>
      <c r="V19" s="1"/>
      <c r="W19" s="1"/>
    </row>
    <row r="20" spans="1:24" ht="3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4" ht="3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4" ht="3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4" ht="30" customHeight="1" x14ac:dyDescent="0.25">
      <c r="A23" s="4" t="s">
        <v>69</v>
      </c>
      <c r="B23" s="4" t="s">
        <v>1</v>
      </c>
      <c r="C23" s="4" t="s">
        <v>70</v>
      </c>
      <c r="D23" s="4" t="s">
        <v>3</v>
      </c>
      <c r="E23" s="4" t="s">
        <v>4</v>
      </c>
      <c r="F23" s="4" t="s">
        <v>5</v>
      </c>
      <c r="G23" s="4" t="s">
        <v>6</v>
      </c>
      <c r="H23" s="4" t="s">
        <v>71</v>
      </c>
      <c r="I23" s="4" t="s">
        <v>72</v>
      </c>
      <c r="J23" s="4" t="s">
        <v>73</v>
      </c>
      <c r="K23" s="4" t="s">
        <v>74</v>
      </c>
      <c r="L23" s="4" t="s">
        <v>11</v>
      </c>
      <c r="M23" s="4" t="s">
        <v>12</v>
      </c>
      <c r="N23" s="4" t="s">
        <v>75</v>
      </c>
      <c r="O23" s="4" t="s">
        <v>76</v>
      </c>
      <c r="P23" s="4" t="s">
        <v>77</v>
      </c>
      <c r="Q23" s="4" t="s">
        <v>78</v>
      </c>
      <c r="R23" s="4" t="s">
        <v>79</v>
      </c>
      <c r="S23" s="4" t="s">
        <v>80</v>
      </c>
      <c r="T23" s="4" t="s">
        <v>81</v>
      </c>
      <c r="U23" s="4" t="s">
        <v>82</v>
      </c>
      <c r="V23" s="4" t="s">
        <v>83</v>
      </c>
      <c r="W23" s="4" t="s">
        <v>54</v>
      </c>
      <c r="X23" s="4" t="s">
        <v>55</v>
      </c>
    </row>
    <row r="24" spans="1:24" ht="30" customHeight="1" x14ac:dyDescent="0.25">
      <c r="A24" s="13" t="s">
        <v>84</v>
      </c>
      <c r="B24" s="4" t="s">
        <v>85</v>
      </c>
      <c r="C24" s="4">
        <v>48</v>
      </c>
      <c r="D24" s="4" t="s">
        <v>86</v>
      </c>
      <c r="E24" s="4" t="s">
        <v>87</v>
      </c>
      <c r="F24" s="4" t="s">
        <v>88</v>
      </c>
      <c r="G24" s="4" t="s">
        <v>89</v>
      </c>
      <c r="H24" s="4" t="s">
        <v>90</v>
      </c>
      <c r="I24" s="4" t="s">
        <v>91</v>
      </c>
      <c r="J24" s="4" t="s">
        <v>92</v>
      </c>
      <c r="K24" s="4" t="s">
        <v>93</v>
      </c>
      <c r="L24" s="4" t="s">
        <v>59</v>
      </c>
      <c r="M24" s="4" t="s">
        <v>59</v>
      </c>
      <c r="N24" s="4" t="s">
        <v>90</v>
      </c>
      <c r="O24" s="4" t="s">
        <v>94</v>
      </c>
      <c r="P24" s="4" t="s">
        <v>95</v>
      </c>
      <c r="Q24" s="4">
        <v>0.01</v>
      </c>
      <c r="R24" s="4">
        <v>10000</v>
      </c>
      <c r="S24" s="4" t="s">
        <v>96</v>
      </c>
      <c r="T24" s="4" t="s">
        <v>97</v>
      </c>
      <c r="U24" s="4" t="s">
        <v>98</v>
      </c>
      <c r="V24" s="4" t="s">
        <v>99</v>
      </c>
      <c r="W24" s="5">
        <f>32/700*1000</f>
        <v>45.714285714285715</v>
      </c>
      <c r="X24" s="5">
        <f>32/(PI()*(80/2)^2*58-PI()*(7/2)^2*58)*10^9</f>
        <v>110608.8789479941</v>
      </c>
    </row>
    <row r="25" spans="1:24" ht="30" customHeight="1" x14ac:dyDescent="0.25">
      <c r="A25" s="13"/>
      <c r="B25" s="4" t="s">
        <v>100</v>
      </c>
      <c r="C25" s="4">
        <v>48</v>
      </c>
      <c r="D25" s="4" t="s">
        <v>101</v>
      </c>
      <c r="E25" s="4" t="s">
        <v>102</v>
      </c>
      <c r="F25" s="4" t="s">
        <v>103</v>
      </c>
      <c r="G25" s="4" t="s">
        <v>89</v>
      </c>
      <c r="H25" s="4" t="s">
        <v>90</v>
      </c>
      <c r="I25" s="4" t="s">
        <v>91</v>
      </c>
      <c r="J25" s="4" t="s">
        <v>104</v>
      </c>
      <c r="K25" s="4" t="s">
        <v>105</v>
      </c>
      <c r="L25" s="4" t="s">
        <v>59</v>
      </c>
      <c r="M25" s="4" t="s">
        <v>59</v>
      </c>
      <c r="N25" s="4" t="s">
        <v>106</v>
      </c>
      <c r="O25" s="4" t="s">
        <v>94</v>
      </c>
      <c r="P25" s="4" t="s">
        <v>95</v>
      </c>
      <c r="Q25" s="4">
        <v>0.01</v>
      </c>
      <c r="R25" s="4">
        <v>10000</v>
      </c>
      <c r="S25" s="4" t="s">
        <v>96</v>
      </c>
      <c r="T25" s="4" t="s">
        <v>97</v>
      </c>
      <c r="U25" s="4" t="s">
        <v>98</v>
      </c>
      <c r="V25" s="4" t="s">
        <v>99</v>
      </c>
      <c r="W25" s="5">
        <f>150/2100*1000</f>
        <v>71.428571428571431</v>
      </c>
      <c r="X25" s="5">
        <f>150/(PI()*(126/2)^2*84-PI()*(8/2)^2*84)*10^9</f>
        <v>143792.18594548022</v>
      </c>
    </row>
    <row r="26" spans="1:24" ht="30" customHeight="1" x14ac:dyDescent="0.25">
      <c r="A26" s="17"/>
      <c r="B26" s="4" t="s">
        <v>107</v>
      </c>
      <c r="C26" s="4">
        <v>48</v>
      </c>
      <c r="D26" s="4" t="s">
        <v>108</v>
      </c>
      <c r="E26" s="4" t="s">
        <v>109</v>
      </c>
      <c r="F26" s="4" t="s">
        <v>110</v>
      </c>
      <c r="G26" s="4" t="s">
        <v>89</v>
      </c>
      <c r="H26" s="4" t="s">
        <v>111</v>
      </c>
      <c r="I26" s="4" t="s">
        <v>112</v>
      </c>
      <c r="J26" s="4" t="s">
        <v>113</v>
      </c>
      <c r="K26" s="4" t="s">
        <v>102</v>
      </c>
      <c r="L26" s="4" t="s">
        <v>59</v>
      </c>
      <c r="M26" s="4" t="s">
        <v>59</v>
      </c>
      <c r="N26" s="4" t="s">
        <v>114</v>
      </c>
      <c r="O26" s="4" t="s">
        <v>115</v>
      </c>
      <c r="P26" s="4" t="s">
        <v>95</v>
      </c>
      <c r="Q26" s="4">
        <v>0.01</v>
      </c>
      <c r="R26" s="4">
        <v>10000</v>
      </c>
      <c r="S26" s="4" t="s">
        <v>116</v>
      </c>
      <c r="T26" s="4" t="s">
        <v>97</v>
      </c>
      <c r="U26" s="4" t="s">
        <v>98</v>
      </c>
      <c r="V26" s="4" t="s">
        <v>99</v>
      </c>
      <c r="W26" s="5">
        <f>2.7/300*1000</f>
        <v>9.0000000000000018</v>
      </c>
      <c r="X26" s="5">
        <f>2.7/(PI()*(40/2)^2*60-PI()*(3.5/2)^2*60)*10^9</f>
        <v>36086.146756783077</v>
      </c>
    </row>
    <row r="27" spans="1:24" ht="30" customHeight="1" x14ac:dyDescent="0.25">
      <c r="A27" s="13" t="s">
        <v>117</v>
      </c>
      <c r="B27" s="6" t="s">
        <v>118</v>
      </c>
      <c r="C27" s="4">
        <v>24</v>
      </c>
      <c r="D27" s="4" t="s">
        <v>119</v>
      </c>
      <c r="E27" s="4" t="s">
        <v>59</v>
      </c>
      <c r="F27" s="4">
        <v>260</v>
      </c>
      <c r="G27" s="4">
        <v>28.17</v>
      </c>
      <c r="H27" s="4">
        <v>142</v>
      </c>
      <c r="I27" s="4">
        <v>178</v>
      </c>
      <c r="J27" s="4">
        <v>2.5</v>
      </c>
      <c r="K27" s="4">
        <v>7</v>
      </c>
      <c r="L27" s="4">
        <v>3</v>
      </c>
      <c r="M27" s="4">
        <v>8.1</v>
      </c>
      <c r="N27" s="4" t="s">
        <v>59</v>
      </c>
      <c r="O27" s="4" t="s">
        <v>120</v>
      </c>
      <c r="P27" s="4" t="s">
        <v>59</v>
      </c>
      <c r="Q27" s="4" t="s">
        <v>59</v>
      </c>
      <c r="R27" s="4" t="s">
        <v>59</v>
      </c>
      <c r="S27" s="4" t="s">
        <v>59</v>
      </c>
      <c r="T27" s="4" t="s">
        <v>59</v>
      </c>
      <c r="U27" s="4" t="s">
        <v>121</v>
      </c>
      <c r="V27" s="4" t="s">
        <v>122</v>
      </c>
      <c r="W27" s="5">
        <f t="shared" ref="W27:W34" si="3">J27/F27*1000</f>
        <v>9.6153846153846168</v>
      </c>
      <c r="X27" s="5">
        <f>J27/(PI()*(44/2)^2*63.5)*10^9</f>
        <v>25892.324964517364</v>
      </c>
    </row>
    <row r="28" spans="1:24" ht="30" customHeight="1" x14ac:dyDescent="0.25">
      <c r="A28" s="16"/>
      <c r="B28" s="6" t="s">
        <v>123</v>
      </c>
      <c r="C28" s="4">
        <v>24</v>
      </c>
      <c r="D28" s="4" t="s">
        <v>124</v>
      </c>
      <c r="E28" s="4" t="s">
        <v>59</v>
      </c>
      <c r="F28" s="4">
        <v>260</v>
      </c>
      <c r="G28" s="4">
        <v>12.6</v>
      </c>
      <c r="H28" s="4">
        <v>238</v>
      </c>
      <c r="I28" s="4">
        <v>317</v>
      </c>
      <c r="J28" s="4">
        <v>4</v>
      </c>
      <c r="K28" s="4">
        <v>10</v>
      </c>
      <c r="L28" s="4">
        <v>7.8</v>
      </c>
      <c r="M28" s="4">
        <v>19.5</v>
      </c>
      <c r="N28" s="4" t="s">
        <v>59</v>
      </c>
      <c r="O28" s="4" t="s">
        <v>94</v>
      </c>
      <c r="P28" s="4" t="s">
        <v>59</v>
      </c>
      <c r="Q28" s="4" t="s">
        <v>59</v>
      </c>
      <c r="R28" s="4" t="s">
        <v>59</v>
      </c>
      <c r="S28" s="4" t="s">
        <v>59</v>
      </c>
      <c r="T28" s="4" t="s">
        <v>59</v>
      </c>
      <c r="U28" s="4" t="s">
        <v>121</v>
      </c>
      <c r="V28" s="4" t="s">
        <v>122</v>
      </c>
      <c r="W28" s="5">
        <f t="shared" si="3"/>
        <v>15.384615384615385</v>
      </c>
      <c r="X28" s="5">
        <f>J28/(PI()*(55/2)^2*55.5)*10^9</f>
        <v>30335.54123410409</v>
      </c>
    </row>
    <row r="29" spans="1:24" ht="30" customHeight="1" x14ac:dyDescent="0.25">
      <c r="A29" s="16"/>
      <c r="B29" s="6" t="s">
        <v>125</v>
      </c>
      <c r="C29" s="4">
        <v>24</v>
      </c>
      <c r="D29" s="4" t="s">
        <v>126</v>
      </c>
      <c r="E29" s="4" t="s">
        <v>59</v>
      </c>
      <c r="F29" s="4">
        <v>360</v>
      </c>
      <c r="G29" s="4">
        <v>36</v>
      </c>
      <c r="H29" s="4">
        <v>83</v>
      </c>
      <c r="I29" s="4">
        <v>111</v>
      </c>
      <c r="J29" s="4">
        <v>10.5</v>
      </c>
      <c r="K29" s="4">
        <v>34</v>
      </c>
      <c r="L29" s="4">
        <v>6.1</v>
      </c>
      <c r="M29" s="4">
        <v>21.5</v>
      </c>
      <c r="N29" s="4" t="s">
        <v>59</v>
      </c>
      <c r="O29" s="4" t="s">
        <v>94</v>
      </c>
      <c r="P29" s="4" t="s">
        <v>59</v>
      </c>
      <c r="Q29" s="4" t="s">
        <v>59</v>
      </c>
      <c r="R29" s="4" t="s">
        <v>59</v>
      </c>
      <c r="S29" s="4" t="s">
        <v>59</v>
      </c>
      <c r="T29" s="4" t="s">
        <v>59</v>
      </c>
      <c r="U29" s="4" t="s">
        <v>121</v>
      </c>
      <c r="V29" s="4" t="s">
        <v>122</v>
      </c>
      <c r="W29" s="5">
        <f t="shared" si="3"/>
        <v>29.166666666666668</v>
      </c>
      <c r="X29" s="5">
        <f>J29/(PI()*(55/2)^2*61)*10^9</f>
        <v>72450.969894156384</v>
      </c>
    </row>
    <row r="30" spans="1:24" ht="30" customHeight="1" x14ac:dyDescent="0.25">
      <c r="A30" s="16"/>
      <c r="B30" s="6" t="s">
        <v>127</v>
      </c>
      <c r="C30" s="4">
        <v>48</v>
      </c>
      <c r="D30" s="4" t="s">
        <v>128</v>
      </c>
      <c r="E30" s="4">
        <v>8.6</v>
      </c>
      <c r="F30" s="4">
        <v>820</v>
      </c>
      <c r="G30" s="4">
        <v>19.611999999999998</v>
      </c>
      <c r="H30" s="4">
        <v>153</v>
      </c>
      <c r="I30" s="4">
        <v>176</v>
      </c>
      <c r="J30" s="4">
        <v>20</v>
      </c>
      <c r="K30" s="4">
        <v>60</v>
      </c>
      <c r="L30" s="4">
        <v>9.5</v>
      </c>
      <c r="M30" s="4">
        <v>29.1</v>
      </c>
      <c r="N30" s="4" t="s">
        <v>59</v>
      </c>
      <c r="O30" s="4" t="s">
        <v>94</v>
      </c>
      <c r="P30" s="4" t="s">
        <v>59</v>
      </c>
      <c r="Q30" s="4" t="s">
        <v>59</v>
      </c>
      <c r="R30" s="4" t="s">
        <v>59</v>
      </c>
      <c r="S30" s="4" t="s">
        <v>59</v>
      </c>
      <c r="T30" s="4" t="s">
        <v>59</v>
      </c>
      <c r="U30" s="4" t="s">
        <v>121</v>
      </c>
      <c r="V30" s="4" t="s">
        <v>122</v>
      </c>
      <c r="W30" s="5">
        <f t="shared" si="3"/>
        <v>24.390243902439025</v>
      </c>
      <c r="X30" s="5">
        <f>J30/(PI()*(80/2)^2*67.5-PI()*(8.6/2)^2*67.5)*10^9</f>
        <v>59635.437240834894</v>
      </c>
    </row>
    <row r="31" spans="1:24" ht="30" customHeight="1" x14ac:dyDescent="0.25">
      <c r="A31" s="16"/>
      <c r="B31" s="6" t="s">
        <v>129</v>
      </c>
      <c r="C31" s="4">
        <v>48</v>
      </c>
      <c r="D31" s="4" t="s">
        <v>130</v>
      </c>
      <c r="E31" s="4">
        <v>12.6</v>
      </c>
      <c r="F31" s="4">
        <v>1400</v>
      </c>
      <c r="G31" s="4">
        <v>19.611999999999998</v>
      </c>
      <c r="H31" s="4">
        <v>127</v>
      </c>
      <c r="I31" s="4">
        <v>158</v>
      </c>
      <c r="J31" s="4">
        <v>43</v>
      </c>
      <c r="K31" s="4">
        <v>120</v>
      </c>
      <c r="L31" s="4">
        <v>17.600000000000001</v>
      </c>
      <c r="M31" s="4">
        <v>43.8</v>
      </c>
      <c r="N31" s="4" t="s">
        <v>59</v>
      </c>
      <c r="O31" s="4" t="s">
        <v>94</v>
      </c>
      <c r="P31" s="4" t="s">
        <v>59</v>
      </c>
      <c r="Q31" s="4" t="s">
        <v>59</v>
      </c>
      <c r="R31" s="4" t="s">
        <v>59</v>
      </c>
      <c r="S31" s="4" t="s">
        <v>59</v>
      </c>
      <c r="T31" s="4" t="s">
        <v>59</v>
      </c>
      <c r="U31" s="4" t="s">
        <v>121</v>
      </c>
      <c r="V31" s="4" t="s">
        <v>122</v>
      </c>
      <c r="W31" s="5">
        <f t="shared" si="3"/>
        <v>30.714285714285715</v>
      </c>
      <c r="X31" s="5">
        <f>J31/(PI()*(96/2)^2*76-PI()*(12.6/2)^2*76)*10^9</f>
        <v>79536.981673184273</v>
      </c>
    </row>
    <row r="32" spans="1:24" ht="30" customHeight="1" x14ac:dyDescent="0.25">
      <c r="A32" s="16"/>
      <c r="B32" s="6" t="s">
        <v>131</v>
      </c>
      <c r="C32" s="4">
        <v>48</v>
      </c>
      <c r="D32" s="4" t="s">
        <v>132</v>
      </c>
      <c r="E32" s="4">
        <v>7</v>
      </c>
      <c r="F32" s="4">
        <v>1480</v>
      </c>
      <c r="G32" s="4">
        <v>33</v>
      </c>
      <c r="H32" s="4">
        <v>75</v>
      </c>
      <c r="I32" s="4">
        <v>90</v>
      </c>
      <c r="J32" s="4">
        <v>66</v>
      </c>
      <c r="K32" s="4">
        <v>150</v>
      </c>
      <c r="L32" s="4">
        <v>15</v>
      </c>
      <c r="M32" s="4">
        <v>34</v>
      </c>
      <c r="N32" s="4" t="s">
        <v>59</v>
      </c>
      <c r="O32" s="4" t="s">
        <v>120</v>
      </c>
      <c r="P32" s="4" t="s">
        <v>59</v>
      </c>
      <c r="Q32" s="4" t="s">
        <v>59</v>
      </c>
      <c r="R32" s="4" t="s">
        <v>59</v>
      </c>
      <c r="S32" s="4" t="s">
        <v>59</v>
      </c>
      <c r="T32" s="4" t="s">
        <v>59</v>
      </c>
      <c r="U32" s="4" t="s">
        <v>121</v>
      </c>
      <c r="V32" s="4" t="s">
        <v>122</v>
      </c>
      <c r="W32" s="5">
        <f t="shared" si="3"/>
        <v>44.594594594594597</v>
      </c>
      <c r="X32" s="5">
        <f>J32/(PI()*(96/2)^2*78-PI()*(7/2)^2*78)*10^9</f>
        <v>117525.53047374605</v>
      </c>
    </row>
    <row r="33" spans="1:24" ht="30" customHeight="1" x14ac:dyDescent="0.25">
      <c r="A33" s="16"/>
      <c r="B33" s="6" t="s">
        <v>133</v>
      </c>
      <c r="C33" s="4">
        <v>48</v>
      </c>
      <c r="D33" s="4" t="s">
        <v>134</v>
      </c>
      <c r="E33" s="4">
        <v>12.6</v>
      </c>
      <c r="F33" s="4">
        <v>2370</v>
      </c>
      <c r="G33" s="4">
        <v>20</v>
      </c>
      <c r="H33" s="4">
        <v>100</v>
      </c>
      <c r="I33" s="4">
        <v>125</v>
      </c>
      <c r="J33" s="4">
        <v>85</v>
      </c>
      <c r="K33" s="4">
        <v>320</v>
      </c>
      <c r="L33" s="4">
        <v>30</v>
      </c>
      <c r="M33" s="4">
        <v>100</v>
      </c>
      <c r="N33" s="4" t="s">
        <v>59</v>
      </c>
      <c r="O33" s="4" t="s">
        <v>94</v>
      </c>
      <c r="P33" s="4" t="s">
        <v>59</v>
      </c>
      <c r="Q33" s="4" t="s">
        <v>59</v>
      </c>
      <c r="R33" s="4" t="s">
        <v>59</v>
      </c>
      <c r="S33" s="4" t="s">
        <v>59</v>
      </c>
      <c r="T33" s="4" t="s">
        <v>59</v>
      </c>
      <c r="U33" s="4" t="s">
        <v>121</v>
      </c>
      <c r="V33" s="4" t="s">
        <v>122</v>
      </c>
      <c r="W33" s="5">
        <f t="shared" si="3"/>
        <v>35.864978902953588</v>
      </c>
      <c r="X33" s="5">
        <f>J33/(PI()*(124/2)^2*85-PI()*(12.6/2)^2*85)*10^9</f>
        <v>83670.859152853125</v>
      </c>
    </row>
    <row r="34" spans="1:24" ht="30" customHeight="1" x14ac:dyDescent="0.25">
      <c r="A34" s="16"/>
      <c r="B34" s="6" t="s">
        <v>135</v>
      </c>
      <c r="C34" s="4">
        <v>72</v>
      </c>
      <c r="D34" s="4" t="s">
        <v>136</v>
      </c>
      <c r="E34" s="4">
        <v>21.5</v>
      </c>
      <c r="F34" s="4">
        <v>3500</v>
      </c>
      <c r="G34" s="4">
        <v>20.25</v>
      </c>
      <c r="H34" s="4">
        <v>98</v>
      </c>
      <c r="I34" s="4">
        <v>108</v>
      </c>
      <c r="J34" s="4">
        <v>145</v>
      </c>
      <c r="K34" s="4">
        <v>450</v>
      </c>
      <c r="L34" s="4">
        <v>25</v>
      </c>
      <c r="M34" s="4">
        <v>69.2</v>
      </c>
      <c r="N34" s="4" t="s">
        <v>59</v>
      </c>
      <c r="O34" s="4" t="s">
        <v>94</v>
      </c>
      <c r="P34" s="4" t="s">
        <v>59</v>
      </c>
      <c r="Q34" s="4" t="s">
        <v>59</v>
      </c>
      <c r="R34" s="4" t="s">
        <v>59</v>
      </c>
      <c r="S34" s="4" t="s">
        <v>59</v>
      </c>
      <c r="T34" s="4" t="s">
        <v>59</v>
      </c>
      <c r="U34" s="4" t="s">
        <v>121</v>
      </c>
      <c r="V34" s="4" t="s">
        <v>122</v>
      </c>
      <c r="W34" s="5">
        <f t="shared" si="3"/>
        <v>41.428571428571423</v>
      </c>
      <c r="X34" s="5">
        <f>J34/(PI()*(166/2)^2*90-PI()*(21.5/2)^2*90)*10^9</f>
        <v>75712.309208908817</v>
      </c>
    </row>
    <row r="35" spans="1:24" ht="30" customHeight="1" x14ac:dyDescent="0.25">
      <c r="A35" s="14" t="s">
        <v>137</v>
      </c>
      <c r="B35" s="4" t="s">
        <v>138</v>
      </c>
      <c r="C35" s="4">
        <v>48</v>
      </c>
      <c r="D35" s="4" t="s">
        <v>139</v>
      </c>
      <c r="E35" s="4" t="s">
        <v>59</v>
      </c>
      <c r="F35" s="4" t="s">
        <v>140</v>
      </c>
      <c r="G35" s="4">
        <v>30.25</v>
      </c>
      <c r="H35" s="4">
        <v>132</v>
      </c>
      <c r="I35" s="4">
        <v>214</v>
      </c>
      <c r="J35" s="4">
        <v>17</v>
      </c>
      <c r="K35" s="4">
        <v>50</v>
      </c>
      <c r="L35" s="4">
        <v>6</v>
      </c>
      <c r="M35" s="4" t="s">
        <v>59</v>
      </c>
      <c r="N35" s="4" t="s">
        <v>59</v>
      </c>
      <c r="O35" s="4" t="s">
        <v>120</v>
      </c>
      <c r="P35" s="4" t="s">
        <v>59</v>
      </c>
      <c r="Q35" s="4" t="s">
        <v>59</v>
      </c>
      <c r="R35" s="4" t="s">
        <v>141</v>
      </c>
      <c r="S35" s="4" t="s">
        <v>96</v>
      </c>
      <c r="T35" s="4" t="s">
        <v>97</v>
      </c>
      <c r="U35" s="4" t="s">
        <v>142</v>
      </c>
      <c r="V35" s="4" t="s">
        <v>143</v>
      </c>
      <c r="W35" s="5">
        <f>17/600*1000</f>
        <v>28.333333333333332</v>
      </c>
      <c r="X35" s="5">
        <f>J35/(PI()*(60/2)^2*61)*10^9</f>
        <v>98565.902825581827</v>
      </c>
    </row>
    <row r="36" spans="1:24" ht="30" customHeight="1" x14ac:dyDescent="0.25">
      <c r="A36" s="14"/>
      <c r="B36" s="4" t="s">
        <v>144</v>
      </c>
      <c r="C36" s="4">
        <v>48</v>
      </c>
      <c r="D36" s="4" t="s">
        <v>145</v>
      </c>
      <c r="E36" s="4" t="s">
        <v>59</v>
      </c>
      <c r="F36" s="4" t="s">
        <v>146</v>
      </c>
      <c r="G36" s="4">
        <v>25</v>
      </c>
      <c r="H36" s="4">
        <v>110</v>
      </c>
      <c r="I36" s="4">
        <v>124</v>
      </c>
      <c r="J36" s="4">
        <v>31</v>
      </c>
      <c r="K36" s="4">
        <v>90</v>
      </c>
      <c r="L36" s="4">
        <v>8</v>
      </c>
      <c r="M36" s="4" t="s">
        <v>59</v>
      </c>
      <c r="N36" s="4" t="s">
        <v>59</v>
      </c>
      <c r="O36" s="4" t="s">
        <v>94</v>
      </c>
      <c r="P36" s="4" t="s">
        <v>59</v>
      </c>
      <c r="Q36" s="4" t="s">
        <v>59</v>
      </c>
      <c r="R36" s="4" t="s">
        <v>141</v>
      </c>
      <c r="S36" s="4" t="s">
        <v>96</v>
      </c>
      <c r="T36" s="4" t="s">
        <v>97</v>
      </c>
      <c r="U36" s="4" t="s">
        <v>142</v>
      </c>
      <c r="V36" s="4" t="s">
        <v>143</v>
      </c>
      <c r="W36" s="5">
        <f>31/850*1000</f>
        <v>36.470588235294116</v>
      </c>
      <c r="X36" s="5">
        <f>J36/(PI()*(80/2)^2*60.5)*10^9</f>
        <v>101938.08338530485</v>
      </c>
    </row>
    <row r="37" spans="1:24" ht="30" customHeight="1" x14ac:dyDescent="0.25">
      <c r="A37" s="14"/>
      <c r="B37" s="4" t="s">
        <v>147</v>
      </c>
      <c r="C37" s="4">
        <v>48</v>
      </c>
      <c r="D37" s="4" t="s">
        <v>148</v>
      </c>
      <c r="E37" s="4">
        <v>7</v>
      </c>
      <c r="F37" s="4" t="s">
        <v>149</v>
      </c>
      <c r="G37" s="4">
        <v>36</v>
      </c>
      <c r="H37" s="4">
        <v>83</v>
      </c>
      <c r="I37" s="4">
        <v>125</v>
      </c>
      <c r="J37" s="4">
        <v>66</v>
      </c>
      <c r="K37" s="4">
        <v>198</v>
      </c>
      <c r="L37" s="4">
        <v>16.5</v>
      </c>
      <c r="M37" s="4" t="s">
        <v>59</v>
      </c>
      <c r="N37" s="4" t="s">
        <v>59</v>
      </c>
      <c r="O37" s="4" t="s">
        <v>94</v>
      </c>
      <c r="P37" s="4" t="s">
        <v>59</v>
      </c>
      <c r="Q37" s="4" t="s">
        <v>59</v>
      </c>
      <c r="R37" s="4" t="s">
        <v>141</v>
      </c>
      <c r="S37" s="4" t="s">
        <v>116</v>
      </c>
      <c r="T37" s="4" t="s">
        <v>97</v>
      </c>
      <c r="U37" s="4" t="s">
        <v>142</v>
      </c>
      <c r="V37" s="4" t="s">
        <v>143</v>
      </c>
      <c r="W37" s="5">
        <f>66/1500*1000</f>
        <v>44</v>
      </c>
      <c r="X37" s="5">
        <f>J37/(PI()*(100/2)^2*68-PI()*(7/2)^2*68)*10^9</f>
        <v>124187.65177682519</v>
      </c>
    </row>
    <row r="38" spans="1:24" ht="30" customHeight="1" x14ac:dyDescent="0.25">
      <c r="A38" s="14"/>
      <c r="B38" s="4" t="s">
        <v>150</v>
      </c>
      <c r="C38" s="4">
        <v>48</v>
      </c>
      <c r="D38" s="4" t="s">
        <v>151</v>
      </c>
      <c r="E38" s="4">
        <v>9</v>
      </c>
      <c r="F38" s="4" t="s">
        <v>152</v>
      </c>
      <c r="G38" s="4">
        <v>30</v>
      </c>
      <c r="H38" s="4">
        <v>100</v>
      </c>
      <c r="I38" s="4">
        <v>120</v>
      </c>
      <c r="J38" s="4">
        <v>130</v>
      </c>
      <c r="K38" s="4">
        <v>390</v>
      </c>
      <c r="L38" s="4">
        <v>38.5</v>
      </c>
      <c r="M38" s="4" t="s">
        <v>59</v>
      </c>
      <c r="N38" s="4" t="s">
        <v>59</v>
      </c>
      <c r="O38" s="4" t="s">
        <v>120</v>
      </c>
      <c r="P38" s="4" t="s">
        <v>59</v>
      </c>
      <c r="Q38" s="4" t="s">
        <v>59</v>
      </c>
      <c r="R38" s="4" t="s">
        <v>153</v>
      </c>
      <c r="S38" s="4" t="s">
        <v>96</v>
      </c>
      <c r="T38" s="4" t="s">
        <v>97</v>
      </c>
      <c r="U38" s="4" t="s">
        <v>142</v>
      </c>
      <c r="V38" s="4" t="s">
        <v>143</v>
      </c>
      <c r="W38" s="5">
        <f>130/2270*1000</f>
        <v>57.268722466960355</v>
      </c>
      <c r="X38" s="5">
        <f>J38/(PI()*(120/2)^2*69.5-PI()*(9/2)^2*69.5)*10^9</f>
        <v>166324.40452723546</v>
      </c>
    </row>
    <row r="39" spans="1:24" ht="30" customHeight="1" x14ac:dyDescent="0.25">
      <c r="A39" s="15" t="s">
        <v>154</v>
      </c>
      <c r="B39" s="6" t="s">
        <v>155</v>
      </c>
      <c r="C39" s="4">
        <v>48</v>
      </c>
      <c r="D39" s="4" t="s">
        <v>156</v>
      </c>
      <c r="E39" s="4">
        <v>7.5</v>
      </c>
      <c r="F39" s="4">
        <v>1200</v>
      </c>
      <c r="G39" s="4">
        <v>22</v>
      </c>
      <c r="H39" s="4">
        <v>80</v>
      </c>
      <c r="I39" s="4">
        <v>130</v>
      </c>
      <c r="J39" s="4">
        <v>44</v>
      </c>
      <c r="K39" s="4">
        <v>140</v>
      </c>
      <c r="L39" s="4" t="s">
        <v>59</v>
      </c>
      <c r="M39" s="4" t="s">
        <v>59</v>
      </c>
      <c r="N39" s="4" t="s">
        <v>59</v>
      </c>
      <c r="O39" s="4" t="s">
        <v>59</v>
      </c>
      <c r="P39" s="4" t="s">
        <v>59</v>
      </c>
      <c r="Q39" s="4" t="s">
        <v>59</v>
      </c>
      <c r="R39" s="4" t="s">
        <v>59</v>
      </c>
      <c r="S39" s="4" t="s">
        <v>59</v>
      </c>
      <c r="T39" s="4" t="s">
        <v>157</v>
      </c>
      <c r="U39" s="4" t="s">
        <v>142</v>
      </c>
      <c r="V39" s="4" t="s">
        <v>59</v>
      </c>
      <c r="W39" s="5">
        <f t="shared" ref="W39:W47" si="4">J39/F39*1000</f>
        <v>36.666666666666664</v>
      </c>
      <c r="X39" s="5">
        <f>J39/(PI()*(100/2)^2*61.7-PI()*(7.5/2)^2*61.7)*10^9</f>
        <v>91311.911460387957</v>
      </c>
    </row>
    <row r="40" spans="1:24" ht="30" customHeight="1" x14ac:dyDescent="0.25">
      <c r="A40" s="16"/>
      <c r="B40" s="6" t="s">
        <v>158</v>
      </c>
      <c r="C40" s="4">
        <v>48</v>
      </c>
      <c r="D40" s="4" t="s">
        <v>159</v>
      </c>
      <c r="E40" s="4">
        <v>4.5</v>
      </c>
      <c r="F40" s="4">
        <v>790</v>
      </c>
      <c r="G40" s="4">
        <v>20</v>
      </c>
      <c r="H40" s="4">
        <v>60</v>
      </c>
      <c r="I40" s="4">
        <v>155</v>
      </c>
      <c r="J40" s="4">
        <v>14</v>
      </c>
      <c r="K40" s="4">
        <v>42</v>
      </c>
      <c r="L40" s="4" t="s">
        <v>59</v>
      </c>
      <c r="M40" s="4" t="s">
        <v>59</v>
      </c>
      <c r="N40" s="4" t="s">
        <v>59</v>
      </c>
      <c r="O40" s="4" t="s">
        <v>59</v>
      </c>
      <c r="P40" s="4" t="s">
        <v>59</v>
      </c>
      <c r="Q40" s="4" t="s">
        <v>59</v>
      </c>
      <c r="R40" s="4" t="s">
        <v>59</v>
      </c>
      <c r="S40" s="4" t="s">
        <v>59</v>
      </c>
      <c r="T40" s="4" t="s">
        <v>157</v>
      </c>
      <c r="U40" s="4" t="s">
        <v>142</v>
      </c>
      <c r="V40" s="4" t="s">
        <v>59</v>
      </c>
      <c r="W40" s="5">
        <f t="shared" si="4"/>
        <v>17.721518987341774</v>
      </c>
      <c r="X40" s="5">
        <f>J40/(PI()*(80/2)^2*61.1-PI()*(4.5/2)^2*61.1)*10^9</f>
        <v>45729.166275818818</v>
      </c>
    </row>
    <row r="41" spans="1:24" ht="30" customHeight="1" x14ac:dyDescent="0.25">
      <c r="A41" s="16"/>
      <c r="B41" s="6" t="s">
        <v>160</v>
      </c>
      <c r="C41" s="4">
        <v>48</v>
      </c>
      <c r="D41" s="4" t="s">
        <v>161</v>
      </c>
      <c r="E41" s="4">
        <v>4.5</v>
      </c>
      <c r="F41" s="4">
        <v>530</v>
      </c>
      <c r="G41" s="4">
        <v>19.5</v>
      </c>
      <c r="H41" s="4">
        <v>157.9</v>
      </c>
      <c r="I41" s="4">
        <v>200</v>
      </c>
      <c r="J41" s="4">
        <v>9.5</v>
      </c>
      <c r="K41" s="4">
        <v>28.5</v>
      </c>
      <c r="L41" s="4" t="s">
        <v>59</v>
      </c>
      <c r="M41" s="4" t="s">
        <v>59</v>
      </c>
      <c r="N41" s="4" t="s">
        <v>59</v>
      </c>
      <c r="O41" s="4" t="s">
        <v>59</v>
      </c>
      <c r="P41" s="4" t="s">
        <v>59</v>
      </c>
      <c r="Q41" s="4" t="s">
        <v>59</v>
      </c>
      <c r="R41" s="4" t="s">
        <v>59</v>
      </c>
      <c r="S41" s="4" t="s">
        <v>59</v>
      </c>
      <c r="T41" s="4" t="s">
        <v>157</v>
      </c>
      <c r="U41" s="4" t="s">
        <v>142</v>
      </c>
      <c r="V41" s="4" t="s">
        <v>59</v>
      </c>
      <c r="W41" s="5">
        <f t="shared" si="4"/>
        <v>17.924528301886792</v>
      </c>
      <c r="X41" s="5">
        <f>J41/(PI()*(65/2)^2*61.2-PI()*(4.5/2)^2*61.2)*10^9</f>
        <v>47004.790625386107</v>
      </c>
    </row>
    <row r="42" spans="1:24" ht="30" customHeight="1" x14ac:dyDescent="0.25">
      <c r="A42" s="18" t="s">
        <v>162</v>
      </c>
      <c r="B42" s="6" t="s">
        <v>163</v>
      </c>
      <c r="C42" s="4">
        <v>48</v>
      </c>
      <c r="D42" s="4" t="s">
        <v>164</v>
      </c>
      <c r="E42" s="4">
        <v>4</v>
      </c>
      <c r="F42" s="4">
        <v>195</v>
      </c>
      <c r="G42" s="4">
        <v>25</v>
      </c>
      <c r="H42" s="4">
        <v>120</v>
      </c>
      <c r="I42" s="4" t="s">
        <v>59</v>
      </c>
      <c r="J42" s="4">
        <v>2</v>
      </c>
      <c r="K42" s="4">
        <v>6</v>
      </c>
      <c r="L42" s="4" t="s">
        <v>59</v>
      </c>
      <c r="M42" s="4" t="s">
        <v>59</v>
      </c>
      <c r="N42" s="4" t="s">
        <v>59</v>
      </c>
      <c r="O42" s="4" t="s">
        <v>120</v>
      </c>
      <c r="P42" s="4" t="s">
        <v>59</v>
      </c>
      <c r="Q42" s="4" t="s">
        <v>59</v>
      </c>
      <c r="R42" s="4" t="s">
        <v>165</v>
      </c>
      <c r="S42" s="4" t="s">
        <v>166</v>
      </c>
      <c r="T42" s="4" t="s">
        <v>59</v>
      </c>
      <c r="U42" s="4" t="s">
        <v>167</v>
      </c>
      <c r="V42" s="4" t="s">
        <v>168</v>
      </c>
      <c r="W42" s="5">
        <f t="shared" si="4"/>
        <v>10.256410256410257</v>
      </c>
      <c r="X42" s="5">
        <f>J42/(PI()*(45/2)^2*51-PI()*(4/2)^2*51)*10^9</f>
        <v>24853.639889812759</v>
      </c>
    </row>
    <row r="43" spans="1:24" ht="30" customHeight="1" x14ac:dyDescent="0.25">
      <c r="A43" s="19"/>
      <c r="B43" s="6" t="s">
        <v>169</v>
      </c>
      <c r="C43" s="4">
        <v>48</v>
      </c>
      <c r="D43" s="4" t="s">
        <v>170</v>
      </c>
      <c r="E43" s="4">
        <v>5</v>
      </c>
      <c r="F43" s="4">
        <v>380</v>
      </c>
      <c r="G43" s="4">
        <v>19.53</v>
      </c>
      <c r="H43" s="4">
        <v>150</v>
      </c>
      <c r="I43" s="4" t="s">
        <v>59</v>
      </c>
      <c r="J43" s="4">
        <v>5</v>
      </c>
      <c r="K43" s="4">
        <v>15</v>
      </c>
      <c r="L43" s="4" t="s">
        <v>59</v>
      </c>
      <c r="M43" s="4" t="s">
        <v>59</v>
      </c>
      <c r="N43" s="4" t="s">
        <v>59</v>
      </c>
      <c r="O43" s="4" t="s">
        <v>120</v>
      </c>
      <c r="P43" s="4" t="s">
        <v>59</v>
      </c>
      <c r="Q43" s="4" t="s">
        <v>59</v>
      </c>
      <c r="R43" s="4" t="s">
        <v>165</v>
      </c>
      <c r="S43" s="4" t="s">
        <v>166</v>
      </c>
      <c r="T43" s="4" t="s">
        <v>59</v>
      </c>
      <c r="U43" s="4" t="s">
        <v>167</v>
      </c>
      <c r="V43" s="4" t="s">
        <v>168</v>
      </c>
      <c r="W43" s="5">
        <f t="shared" si="4"/>
        <v>13.157894736842104</v>
      </c>
      <c r="X43" s="5">
        <f>J43/(PI()*(59/2)^2*52-PI()*(5/2)^2*52)*10^9</f>
        <v>35424.444242320009</v>
      </c>
    </row>
    <row r="44" spans="1:24" ht="30" customHeight="1" x14ac:dyDescent="0.25">
      <c r="A44" s="19"/>
      <c r="B44" s="6" t="s">
        <v>171</v>
      </c>
      <c r="C44" s="4">
        <v>48</v>
      </c>
      <c r="D44" s="4" t="s">
        <v>172</v>
      </c>
      <c r="E44" s="4">
        <v>5</v>
      </c>
      <c r="F44" s="4">
        <v>445</v>
      </c>
      <c r="G44" s="4">
        <v>19.53</v>
      </c>
      <c r="H44" s="4">
        <v>150</v>
      </c>
      <c r="I44" s="4" t="s">
        <v>59</v>
      </c>
      <c r="J44" s="4">
        <v>10</v>
      </c>
      <c r="K44" s="4">
        <v>30</v>
      </c>
      <c r="L44" s="4" t="s">
        <v>59</v>
      </c>
      <c r="M44" s="4" t="s">
        <v>59</v>
      </c>
      <c r="N44" s="4" t="s">
        <v>59</v>
      </c>
      <c r="O44" s="4" t="s">
        <v>120</v>
      </c>
      <c r="P44" s="4" t="s">
        <v>59</v>
      </c>
      <c r="Q44" s="4" t="s">
        <v>59</v>
      </c>
      <c r="R44" s="4" t="s">
        <v>165</v>
      </c>
      <c r="S44" s="4" t="s">
        <v>166</v>
      </c>
      <c r="T44" s="4" t="s">
        <v>59</v>
      </c>
      <c r="U44" s="4" t="s">
        <v>167</v>
      </c>
      <c r="V44" s="4" t="s">
        <v>168</v>
      </c>
      <c r="W44" s="5">
        <f t="shared" si="4"/>
        <v>22.471910112359549</v>
      </c>
      <c r="X44" s="5">
        <f>J44/(PI()*(59/2)^2*59-PI()*(5/2)^2*59)*10^9</f>
        <v>62443.088155953905</v>
      </c>
    </row>
    <row r="45" spans="1:24" ht="30" customHeight="1" x14ac:dyDescent="0.25">
      <c r="A45" s="19"/>
      <c r="B45" s="6" t="s">
        <v>173</v>
      </c>
      <c r="C45" s="4">
        <v>48</v>
      </c>
      <c r="D45" s="4" t="s">
        <v>174</v>
      </c>
      <c r="E45" s="4">
        <v>6</v>
      </c>
      <c r="F45" s="4">
        <v>645</v>
      </c>
      <c r="G45" s="4">
        <v>20</v>
      </c>
      <c r="H45" s="4">
        <v>130</v>
      </c>
      <c r="I45" s="4" t="s">
        <v>59</v>
      </c>
      <c r="J45" s="4">
        <v>12</v>
      </c>
      <c r="K45" s="4">
        <v>36</v>
      </c>
      <c r="L45" s="4" t="s">
        <v>59</v>
      </c>
      <c r="M45" s="4" t="s">
        <v>59</v>
      </c>
      <c r="N45" s="4" t="s">
        <v>59</v>
      </c>
      <c r="O45" s="4" t="s">
        <v>120</v>
      </c>
      <c r="P45" s="4" t="s">
        <v>59</v>
      </c>
      <c r="Q45" s="4" t="s">
        <v>59</v>
      </c>
      <c r="R45" s="4" t="s">
        <v>165</v>
      </c>
      <c r="S45" s="4" t="s">
        <v>166</v>
      </c>
      <c r="T45" s="4" t="s">
        <v>59</v>
      </c>
      <c r="U45" s="4" t="s">
        <v>167</v>
      </c>
      <c r="V45" s="4" t="s">
        <v>168</v>
      </c>
      <c r="W45" s="5">
        <f t="shared" si="4"/>
        <v>18.604651162790699</v>
      </c>
      <c r="X45" s="5">
        <f>J45/(PI()*(77/2)^2*50.5-PI()*(6/2)^2*50.5)*10^9</f>
        <v>51340.908030914179</v>
      </c>
    </row>
    <row r="46" spans="1:24" ht="30" customHeight="1" x14ac:dyDescent="0.25">
      <c r="A46" s="19"/>
      <c r="B46" s="6" t="s">
        <v>175</v>
      </c>
      <c r="C46" s="4">
        <v>48</v>
      </c>
      <c r="D46" s="4" t="s">
        <v>176</v>
      </c>
      <c r="E46" s="4">
        <v>6</v>
      </c>
      <c r="F46" s="4">
        <v>785</v>
      </c>
      <c r="G46" s="4">
        <v>20</v>
      </c>
      <c r="H46" s="4">
        <v>125</v>
      </c>
      <c r="I46" s="4" t="s">
        <v>59</v>
      </c>
      <c r="J46" s="4">
        <v>20</v>
      </c>
      <c r="K46" s="4">
        <v>60</v>
      </c>
      <c r="L46" s="4" t="s">
        <v>59</v>
      </c>
      <c r="M46" s="4" t="s">
        <v>59</v>
      </c>
      <c r="N46" s="4" t="s">
        <v>59</v>
      </c>
      <c r="O46" s="4" t="s">
        <v>120</v>
      </c>
      <c r="P46" s="4" t="s">
        <v>59</v>
      </c>
      <c r="Q46" s="4" t="s">
        <v>59</v>
      </c>
      <c r="R46" s="4" t="s">
        <v>165</v>
      </c>
      <c r="S46" s="4" t="s">
        <v>166</v>
      </c>
      <c r="T46" s="4" t="s">
        <v>59</v>
      </c>
      <c r="U46" s="4" t="s">
        <v>167</v>
      </c>
      <c r="V46" s="4" t="s">
        <v>168</v>
      </c>
      <c r="W46" s="5">
        <f t="shared" si="4"/>
        <v>25.477707006369428</v>
      </c>
      <c r="X46" s="5">
        <f>J46/(PI()*(77/2)^2*58-PI()*(6/2)^2*68)*10^9</f>
        <v>74581.883745330735</v>
      </c>
    </row>
    <row r="47" spans="1:24" ht="30" customHeight="1" x14ac:dyDescent="0.25">
      <c r="A47" s="20"/>
      <c r="B47" s="6" t="s">
        <v>177</v>
      </c>
      <c r="C47" s="4">
        <v>48</v>
      </c>
      <c r="D47" s="4" t="s">
        <v>178</v>
      </c>
      <c r="E47" s="4">
        <v>8</v>
      </c>
      <c r="F47" s="4">
        <v>1050</v>
      </c>
      <c r="G47" s="4">
        <v>21.91</v>
      </c>
      <c r="H47" s="4">
        <v>115</v>
      </c>
      <c r="I47" s="4" t="s">
        <v>59</v>
      </c>
      <c r="J47" s="4">
        <v>40</v>
      </c>
      <c r="K47" s="4">
        <v>120</v>
      </c>
      <c r="L47" s="4" t="s">
        <v>59</v>
      </c>
      <c r="M47" s="4" t="s">
        <v>59</v>
      </c>
      <c r="N47" s="4" t="s">
        <v>59</v>
      </c>
      <c r="O47" s="4" t="s">
        <v>120</v>
      </c>
      <c r="P47" s="4" t="s">
        <v>59</v>
      </c>
      <c r="Q47" s="4" t="s">
        <v>59</v>
      </c>
      <c r="R47" s="4" t="s">
        <v>165</v>
      </c>
      <c r="S47" s="4" t="s">
        <v>166</v>
      </c>
      <c r="T47" s="4" t="s">
        <v>59</v>
      </c>
      <c r="U47" s="4" t="s">
        <v>167</v>
      </c>
      <c r="V47" s="4" t="s">
        <v>168</v>
      </c>
      <c r="W47" s="5">
        <f t="shared" si="4"/>
        <v>38.095238095238102</v>
      </c>
      <c r="X47" s="5">
        <f>J47/(PI()*(100/2)^2*68-PI()*(7/2)^2*68)*10^9</f>
        <v>75265.243501106175</v>
      </c>
    </row>
    <row r="48" spans="1:24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</sheetData>
  <mergeCells count="8">
    <mergeCell ref="A2:A5"/>
    <mergeCell ref="A35:A38"/>
    <mergeCell ref="A39:A41"/>
    <mergeCell ref="A24:A26"/>
    <mergeCell ref="A42:A47"/>
    <mergeCell ref="A14:A19"/>
    <mergeCell ref="A8:A11"/>
    <mergeCell ref="A27:A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行星执行器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代金垚</cp:lastModifiedBy>
  <dcterms:created xsi:type="dcterms:W3CDTF">2006-09-16T00:00:00Z</dcterms:created>
  <dcterms:modified xsi:type="dcterms:W3CDTF">2026-05-08T07:53:02Z</dcterms:modified>
</cp:coreProperties>
</file>